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4c447972c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ibution" sheetId="1" r:id="Rc94229cbaf704202"/>
    <x:sheet xmlns:r="http://schemas.openxmlformats.org/officeDocument/2006/relationships" name="Feature Ownership" sheetId="2" r:id="R1b511e9c20494b48"/>
    <x:sheet xmlns:r="http://schemas.openxmlformats.org/officeDocument/2006/relationships" name="Sprint Evidence" sheetId="3" r:id="R84de9b7b21494a89"/>
  </x:sheets>
</x:workbook>
</file>

<file path=xl/comments1.xml><?xml version="1.0" encoding="utf-8"?>
<x:comments xmlns:x="http://schemas.openxmlformats.org/spreadsheetml/2006/main">
  <x:authors>
    <x:author>tc={24F0F605-F55D-DC45-C4C4-3649A2A66146}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Enter only team-approved contribution points supported by genuine work evidence. Calculated percentages update automatically.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5">
    <x:font>
      <x:sz val="10"/>
      <x:color rgb="FF000000"/>
      <x:name val="Arial"/>
    </x:font>
    <x:font>
      <x:b/>
      <x:sz val="12"/>
      <x:color theme="1"/>
      <x:name val="Arial"/>
    </x:font>
    <x:font>
      <x:color theme="1"/>
      <x:name val="Arial"/>
    </x:font>
    <x:font/>
    <x:font>
      <x:b/>
      <x:sz val="18"/>
      <x:color theme="1"/>
      <x:name val="Arial"/>
    </x:font>
    <x:font>
      <x:b/>
      <x:color theme="1"/>
      <x:name val="Arial"/>
    </x:font>
    <x:font>
      <x:b/>
      <x:sz val="16"/>
      <x:color rgb="FFFFFFFF"/>
      <x:name val="Arial"/>
    </x:font>
    <x:font>
      <x:sz val="10"/>
      <x:color rgb="FF17324D"/>
      <x:name val="Arial"/>
    </x:font>
    <x:font>
      <x:b/>
      <x:sz val="10"/>
      <x:color rgb="FF0F3D56"/>
      <x:name val="Arial"/>
    </x:font>
    <x:font>
      <x:b/>
      <x:sz val="10"/>
      <x:color rgb="FFFFFFFF"/>
      <x:name val="Arial"/>
    </x:font>
    <x:font>
      <x:sz val="10"/>
      <x:color rgb="FF243B53"/>
      <x:name val="Arial"/>
    </x:font>
    <x:font>
      <x:sz val="10"/>
      <x:color rgb="FF486581"/>
      <x:name val="Arial"/>
    </x:font>
    <x:font>
      <x:b/>
      <x:sz val="15"/>
      <x:color rgb="FFFFFFFF"/>
      <x:name val="Arial"/>
    </x:font>
    <x:font>
      <x:b/>
      <x:sz val="10"/>
      <x:color rgb="FFA61B1B"/>
      <x:name val="Arial"/>
    </x:font>
    <x:font>
      <x:i/>
      <x:sz val="10"/>
      <x:color rgb="FF486581"/>
      <x:name val="Arial"/>
    </x:font>
  </x:fonts>
  <x:fills count="14">
    <x:fill>
      <x:patternFill patternType="none"/>
    </x:fill>
    <x:fill>
      <x:patternFill patternType="lightGray"/>
    </x:fill>
    <x:fill>
      <x:patternFill patternType="solid">
        <x:fgColor rgb="FFB7B7B7"/>
      </x:patternFill>
    </x:fill>
    <x:fill>
      <x:patternFill patternType="solid">
        <x:fgColor rgb="FFD9EAD3"/>
      </x:patternFill>
    </x:fill>
    <x:fill>
      <x:patternFill patternType="solid">
        <x:fgColor rgb="FFFFFF00"/>
      </x:patternFill>
    </x:fill>
    <x:fill>
      <x:patternFill patternType="solid">
        <x:fgColor rgb="FF0F3D56"/>
      </x:patternFill>
    </x:fill>
    <x:fill>
      <x:patternFill patternType="solid">
        <x:fgColor rgb="FFE8F1F5"/>
      </x:patternFill>
    </x:fill>
    <x:fill>
      <x:patternFill patternType="solid">
        <x:fgColor rgb="FF147D92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E8F6EE"/>
      </x:patternFill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FDE8E8"/>
      </x:patternFill>
    </x:fill>
  </x:fills>
  <x:borders count="1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B7CDD8"/>
      </x:right>
      <x:bottom style="thin">
        <x:color rgb="FFB7CDD8"/>
      </x:bottom>
    </x:border>
    <x:border>
      <x:left style="thin">
        <x:color rgb="FFB7CDD8"/>
      </x:left>
      <x:right style="thin">
        <x:color rgb="FFB7CDD8"/>
      </x:right>
      <x:bottom style="thin">
        <x:color rgb="FFB7CDD8"/>
      </x:bottom>
    </x:border>
    <x:border>
      <x:left style="thin">
        <x:color rgb="FFB7CDD8"/>
      </x:left>
      <x:bottom style="thin">
        <x:color rgb="FFB7CDD8"/>
      </x:bottom>
    </x:border>
    <x:border>
      <x:right style="thin">
        <x:color rgb="FFB7CDD8"/>
      </x:right>
      <x:top style="thin">
        <x:color rgb="FFB7CDD8"/>
      </x:top>
    </x:border>
    <x:border>
      <x:left style="thin">
        <x:color rgb="FFB7CDD8"/>
      </x:left>
      <x:right style="thin">
        <x:color rgb="FFB7CDD8"/>
      </x:right>
      <x:top style="thin">
        <x:color rgb="FFB7CDD8"/>
      </x:top>
    </x:border>
    <x:border>
      <x:left style="thin">
        <x:color rgb="FFB7CDD8"/>
      </x:left>
      <x:top style="thin">
        <x:color rgb="FFB7CDD8"/>
      </x:top>
    </x:border>
    <x:border>
      <x:left style="thin">
        <x:color rgb="FFD4E2E8"/>
      </x:left>
      <x:right style="thin">
        <x:color rgb="FFD4E2E8"/>
      </x:right>
      <x:top style="thin">
        <x:color rgb="FFD4E2E8"/>
      </x:top>
      <x:bottom style="thin">
        <x:color rgb="FFD4E2E8"/>
      </x:bottom>
    </x:border>
    <x:border>
      <x:left style="thin">
        <x:color rgb="FFD4E2E8"/>
      </x:left>
      <x:top style="thin">
        <x:color rgb="FFD4E2E8"/>
      </x:top>
    </x:border>
    <x:border>
      <x:top style="thin">
        <x:color rgb="FFD4E2E8"/>
      </x:top>
    </x:border>
    <x:border>
      <x:right style="thin">
        <x:color rgb="FFD4E2E8"/>
      </x:right>
      <x:top style="thin">
        <x:color rgb="FFD4E2E8"/>
      </x:top>
    </x:border>
    <x:border>
      <x:left style="thin">
        <x:color rgb="FFD4E2E8"/>
      </x:left>
      <x:bottom style="thin">
        <x:color rgb="FFD4E2E8"/>
      </x:bottom>
    </x:border>
    <x:border>
      <x:bottom style="thin">
        <x:color rgb="FFD4E2E8"/>
      </x:bottom>
    </x:border>
    <x:border>
      <x:right style="thin">
        <x:color rgb="FFD4E2E8"/>
      </x:right>
      <x:bottom style="thin">
        <x:color rgb="FFD4E2E8"/>
      </x:bottom>
    </x:border>
  </x:borders>
  <x:cellStyleXfs count="1">
    <x:xf numFmtId="0" fontId="0" fillId="0" borderId="0" applyFont="1" applyAlignment="1"/>
  </x:cellStyleXfs>
  <x:cellXfs count="88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1" fillId="0" borderId="2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/>
    </x:xf>
    <x:xf numFmtId="9" fontId="1" fillId="0" borderId="2" xfId="0" applyNumberFormat="1" applyFont="1" applyBorder="1" applyAlignment="1">
      <x:alignment horizontal="center" vertical="center"/>
    </x:xf>
    <x:xf numFmtId="0" fontId="2" fillId="3" borderId="1" xfId="0" applyFont="1" applyFill="1" applyBorder="1" applyAlignment="1"/>
    <x:xf numFmtId="0" fontId="2" fillId="0" borderId="1" xfId="0" applyFont="1" applyBorder="1"/>
    <x:xf numFmtId="0" fontId="3" fillId="0" borderId="3" xfId="0" applyFont="1" applyBorder="1"/>
    <x:xf numFmtId="0" fontId="1" fillId="0" borderId="3" xfId="0" applyFont="1" applyBorder="1" applyAlignment="1">
      <x:alignment horizontal="center" vertical="center"/>
    </x:xf>
    <x:xf numFmtId="9" fontId="1" fillId="0" borderId="3" xfId="0" applyNumberFormat="1" applyFont="1" applyBorder="1" applyAlignment="1">
      <x:alignment horizontal="center" vertical="center"/>
    </x:xf>
    <x:xf numFmtId="0" fontId="2" fillId="0" borderId="1" xfId="0" applyFont="1" applyBorder="1" applyAlignment="1"/>
    <x:xf numFmtId="0" fontId="3" fillId="0" borderId="4" xfId="0" applyFont="1" applyBorder="1"/>
    <x:xf numFmtId="0" fontId="1" fillId="0" borderId="4" xfId="0" applyFont="1" applyBorder="1" applyAlignment="1">
      <x:alignment horizontal="center" vertical="center"/>
    </x:xf>
    <x:xf numFmtId="9" fontId="1" fillId="0" borderId="4" xfId="0" applyNumberFormat="1" applyFont="1" applyBorder="1" applyAlignment="1">
      <x:alignment horizontal="center" vertical="center"/>
    </x:xf>
    <x:xf numFmtId="0" fontId="1" fillId="0" borderId="2" xfId="0" applyFont="1" applyBorder="1" applyAlignment="1">
      <x:alignment horizontal="center"/>
    </x:xf>
    <x:xf numFmtId="0" fontId="4" fillId="4" borderId="0" xfId="0" applyFont="1" applyFill="1" applyAlignment="1">
      <x:alignment horizontal="center" vertical="center" wrapText="1"/>
    </x:xf>
    <x:xf numFmtId="0" fontId="5" fillId="0" borderId="0" xfId="0" applyFont="1" applyAlignment="1"/>
    <x:xf numFmtId="0" fontId="0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horizontal="center" vertical="bottom" wrapText="0"/>
    </x:xf>
    <x:xf numFmtId="0" fontId="6" fillId="5" borderId="0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7" fillId="6" borderId="0" xfId="0" applyNumberFormat="1" applyFont="1" applyFill="1" applyBorder="1" applyAlignment="1">
      <x:alignment vertical="bottom" wrapText="0"/>
    </x:xf>
    <x:xf numFmtId="0" fontId="7" fillId="6" borderId="5" xfId="0" applyNumberFormat="1" applyFont="1" applyFill="1" applyBorder="1" applyAlignment="1">
      <x:alignment vertical="bottom" wrapText="0"/>
    </x:xf>
    <x:xf numFmtId="0" fontId="7" fillId="6" borderId="6" xfId="0" applyNumberFormat="1" applyFont="1" applyFill="1" applyBorder="1" applyAlignment="1">
      <x:alignment vertical="bottom" wrapText="0"/>
    </x:xf>
    <x:xf numFmtId="0" fontId="7" fillId="6" borderId="7" xfId="0" applyNumberFormat="1" applyFont="1" applyFill="1" applyBorder="1" applyAlignment="1">
      <x:alignment vertical="bottom" wrapText="0"/>
    </x:xf>
    <x:xf numFmtId="0" fontId="7" fillId="6" borderId="8" xfId="0" applyNumberFormat="1" applyFont="1" applyFill="1" applyBorder="1" applyAlignment="1">
      <x:alignment vertical="bottom" wrapText="0"/>
    </x:xf>
    <x:xf numFmtId="0" fontId="7" fillId="6" borderId="9" xfId="0" applyNumberFormat="1" applyFont="1" applyFill="1" applyBorder="1" applyAlignment="1">
      <x:alignment vertical="bottom" wrapText="0"/>
    </x:xf>
    <x:xf numFmtId="0" fontId="7" fillId="6" borderId="10" xfId="0" applyNumberFormat="1" applyFont="1" applyFill="1" applyBorder="1" applyAlignment="1">
      <x:alignment vertical="bottom" wrapText="0"/>
    </x:xf>
    <x:xf numFmtId="0" fontId="7" fillId="6" borderId="5" xfId="0" applyNumberFormat="1" applyFont="1" applyFill="1" applyBorder="1" applyAlignment="1">
      <x:alignment vertical="bottom" wrapText="1"/>
    </x:xf>
    <x:xf numFmtId="0" fontId="7" fillId="6" borderId="6" xfId="0" applyNumberFormat="1" applyFont="1" applyFill="1" applyBorder="1" applyAlignment="1">
      <x:alignment vertical="bottom" wrapText="1"/>
    </x:xf>
    <x:xf numFmtId="0" fontId="7" fillId="6" borderId="7" xfId="0" applyNumberFormat="1" applyFont="1" applyFill="1" applyBorder="1" applyAlignment="1">
      <x:alignment vertical="bottom" wrapText="1"/>
    </x:xf>
    <x:xf numFmtId="0" fontId="7" fillId="6" borderId="8" xfId="0" applyNumberFormat="1" applyFont="1" applyFill="1" applyBorder="1" applyAlignment="1">
      <x:alignment vertical="bottom" wrapText="1"/>
    </x:xf>
    <x:xf numFmtId="0" fontId="7" fillId="6" borderId="9" xfId="0" applyNumberFormat="1" applyFont="1" applyFill="1" applyBorder="1" applyAlignment="1">
      <x:alignment vertical="bottom" wrapText="1"/>
    </x:xf>
    <x:xf numFmtId="0" fontId="7" fillId="6" borderId="10" xfId="0" applyNumberFormat="1" applyFont="1" applyFill="1" applyBorder="1" applyAlignment="1">
      <x:alignment vertical="bottom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bottom" wrapText="0"/>
    </x:xf>
    <x:xf numFmtId="0" fontId="9" fillId="7" borderId="0" xfId="0" applyNumberFormat="1" applyFont="1" applyFill="1" applyBorder="1" applyAlignment="1">
      <x:alignment vertical="bottom" wrapText="0"/>
    </x:xf>
    <x:xf numFmtId="0" fontId="9" fillId="7" borderId="0" xfId="0" applyNumberFormat="1" applyFont="1" applyFill="1" applyBorder="1" applyAlignment="1">
      <x:alignment vertical="bottom" wrapText="1"/>
    </x:xf>
    <x:xf numFmtId="0" fontId="9" fillId="7" borderId="0" xfId="0" applyNumberFormat="1" applyFont="1" applyFill="1" applyBorder="1" applyAlignment="1">
      <x:alignment horizontal="center" vertical="bottom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bottom" wrapText="0"/>
    </x:xf>
    <x:xf numFmtId="0" fontId="10" fillId="8" borderId="0" xfId="0" applyNumberFormat="1" applyFont="1" applyFill="1" applyBorder="1" applyAlignment="1">
      <x:alignment vertical="bottom" wrapText="0"/>
    </x:xf>
    <x:xf numFmtId="0" fontId="10" fillId="8" borderId="11" xfId="0" applyNumberFormat="1" applyFont="1" applyFill="1" applyBorder="1" applyAlignment="1">
      <x:alignment vertical="bottom" wrapText="0"/>
    </x:xf>
    <x:xf numFmtId="0" fontId="10" fillId="8" borderId="11" xfId="0" applyNumberFormat="1" applyFont="1" applyFill="1" applyBorder="1" applyAlignment="1">
      <x:alignment vertical="bottom" wrapText="1"/>
    </x:xf>
    <x:xf numFmtId="0" fontId="10" fillId="8" borderId="11" xfId="0" applyNumberFormat="1" applyFont="1" applyFill="1" applyBorder="1" applyAlignment="1">
      <x:alignment vertical="center" wrapText="1"/>
    </x:xf>
    <x:xf numFmtId="0" fontId="10" fillId="9" borderId="11" xfId="0" applyNumberFormat="1" applyFont="1" applyFill="1" applyBorder="1" applyAlignment="1">
      <x:alignment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0" fillId="10" borderId="11" xfId="0" applyNumberFormat="1" applyFont="1" applyFill="1" applyBorder="1" applyAlignment="1">
      <x:alignment vertical="center" wrapText="1"/>
    </x:xf>
    <x:xf numFmtId="200" fontId="10" fillId="10" borderId="11" xfId="0" applyNumberFormat="1" applyFont="1" applyFill="1" applyBorder="1" applyAlignment="1">
      <x:alignment vertical="center" wrapText="1"/>
    </x:xf>
    <x:xf numFmtId="200" fontId="10" fillId="10" borderId="1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bottom" wrapText="0"/>
    </x:xf>
    <x:xf numFmtId="0" fontId="9" fillId="11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11" fillId="12" borderId="0" xfId="0" applyNumberFormat="1" applyFont="1" applyFill="1" applyBorder="1" applyAlignment="1">
      <x:alignment vertical="bottom" wrapText="0"/>
    </x:xf>
    <x:xf numFmtId="0" fontId="11" fillId="12" borderId="12" xfId="0" applyNumberFormat="1" applyFont="1" applyFill="1" applyBorder="1" applyAlignment="1">
      <x:alignment vertical="bottom" wrapText="0"/>
    </x:xf>
    <x:xf numFmtId="0" fontId="11" fillId="12" borderId="13" xfId="0" applyNumberFormat="1" applyFont="1" applyFill="1" applyBorder="1" applyAlignment="1">
      <x:alignment vertical="bottom" wrapText="0"/>
    </x:xf>
    <x:xf numFmtId="0" fontId="11" fillId="12" borderId="14" xfId="0" applyNumberFormat="1" applyFont="1" applyFill="1" applyBorder="1" applyAlignment="1">
      <x:alignment vertical="bottom" wrapText="0"/>
    </x:xf>
    <x:xf numFmtId="0" fontId="11" fillId="12" borderId="15" xfId="0" applyNumberFormat="1" applyFont="1" applyFill="1" applyBorder="1" applyAlignment="1">
      <x:alignment vertical="bottom" wrapText="0"/>
    </x:xf>
    <x:xf numFmtId="0" fontId="11" fillId="12" borderId="16" xfId="0" applyNumberFormat="1" applyFont="1" applyFill="1" applyBorder="1" applyAlignment="1">
      <x:alignment vertical="bottom" wrapText="0"/>
    </x:xf>
    <x:xf numFmtId="0" fontId="11" fillId="12" borderId="17" xfId="0" applyNumberFormat="1" applyFont="1" applyFill="1" applyBorder="1" applyAlignment="1">
      <x:alignment vertical="bottom" wrapText="0"/>
    </x:xf>
    <x:xf numFmtId="0" fontId="11" fillId="12" borderId="12" xfId="0" applyNumberFormat="1" applyFont="1" applyFill="1" applyBorder="1" applyAlignment="1">
      <x:alignment vertical="bottom" wrapText="1"/>
    </x:xf>
    <x:xf numFmtId="0" fontId="11" fillId="12" borderId="13" xfId="0" applyNumberFormat="1" applyFont="1" applyFill="1" applyBorder="1" applyAlignment="1">
      <x:alignment vertical="bottom" wrapText="1"/>
    </x:xf>
    <x:xf numFmtId="0" fontId="11" fillId="12" borderId="14" xfId="0" applyNumberFormat="1" applyFont="1" applyFill="1" applyBorder="1" applyAlignment="1">
      <x:alignment vertical="bottom" wrapText="1"/>
    </x:xf>
    <x:xf numFmtId="0" fontId="11" fillId="12" borderId="15" xfId="0" applyNumberFormat="1" applyFont="1" applyFill="1" applyBorder="1" applyAlignment="1">
      <x:alignment vertical="bottom" wrapText="1"/>
    </x:xf>
    <x:xf numFmtId="0" fontId="11" fillId="12" borderId="16" xfId="0" applyNumberFormat="1" applyFont="1" applyFill="1" applyBorder="1" applyAlignment="1">
      <x:alignment vertical="bottom" wrapText="1"/>
    </x:xf>
    <x:xf numFmtId="0" fontId="11" fillId="12" borderId="17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0"/>
    </x:xf>
    <x:xf numFmtId="0" fontId="12" fillId="5" borderId="0" xfId="0" applyNumberFormat="1" applyFont="1" applyFill="1" applyBorder="1" applyAlignment="1">
      <x:alignment vertical="bottom" wrapText="0"/>
    </x:xf>
    <x:xf numFmtId="0" fontId="12" fillId="5" borderId="0" xfId="0" applyNumberFormat="1" applyFont="1" applyFill="1" applyBorder="1" applyAlignment="1">
      <x:alignment horizontal="center" vertical="bottom" wrapText="0"/>
    </x:xf>
    <x:xf numFmtId="0" fontId="10" fillId="0" borderId="0" xfId="0" applyNumberFormat="1" applyFont="1" applyFill="1" applyBorder="1" applyAlignment="1">
      <x:alignment vertical="bottom" wrapText="0"/>
    </x:xf>
    <x:xf numFmtId="0" fontId="10" fillId="0" borderId="11" xfId="0" applyNumberFormat="1" applyFont="1" applyFill="1" applyBorder="1" applyAlignment="1">
      <x:alignment vertical="bottom" wrapText="0"/>
    </x:xf>
    <x:xf numFmtId="0" fontId="10" fillId="0" borderId="11" xfId="0" applyNumberFormat="1" applyFont="1" applyFill="1" applyBorder="1" applyAlignment="1">
      <x:alignment vertical="bottom" wrapText="1"/>
    </x:xf>
    <x:xf numFmtId="0" fontId="10" fillId="0" borderId="11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10" fillId="13" borderId="11" xfId="0" applyNumberFormat="1" applyFont="1" applyFill="1" applyBorder="1" applyAlignment="1">
      <x:alignment vertical="center" wrapText="1"/>
    </x:xf>
    <x:xf numFmtId="0" fontId="13" fillId="13" borderId="11" xfId="0" applyNumberFormat="1" applyFont="1" applyFill="1" applyBorder="1" applyAlignment="1">
      <x:alignment vertical="center" wrapText="1"/>
    </x:xf>
    <x:xf numFmtId="0" fontId="13" fillId="13" borderId="11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bottom" wrapText="0"/>
    </x:xf>
    <x:xf numFmtId="0" fontId="14" fillId="12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5E5"/>
        </x:patternFill>
      </x:fill>
    </x:dxf>
    <x:dxf>
      <x:font>
        <x:b/>
        <x:color rgb="FFA61B1B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5E5"/>
        </x:patternFill>
      </x:fill>
    </x:dxf>
    <x:dxf>
      <x:font>
        <x:b/>
        <x:color rgb="FF174C8C"/>
      </x:font>
      <x:fill>
        <x:patternFill patternType="solid">
          <x:bgColor rgb="FFDDEEFF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b/>
        <x:color rgb="FF176B3A"/>
      </x:font>
      <x:fill>
        <x:patternFill patternType="solid">
          <x:bgColor rgb="FFDDF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db35711294490" /><Relationship Type="http://schemas.openxmlformats.org/officeDocument/2006/relationships/theme" Target="/xl/theme/theme1.xml" Id="R66ab62b781de4808" /><Relationship Type="http://schemas.openxmlformats.org/officeDocument/2006/relationships/sharedStrings" Target="/xl/sharedStrings.xml" Id="Rc180eabec8c7444d" /><Relationship Type="http://schemas.openxmlformats.org/officeDocument/2006/relationships/worksheet" Target="/xl/worksheets/sheet1.xml" Id="Rc94229cbaf704202" /><Relationship Type="http://schemas.openxmlformats.org/officeDocument/2006/relationships/worksheet" Target="/xl/worksheets/sheet2.xml" Id="R1b511e9c20494b48" /><Relationship Type="http://schemas.openxmlformats.org/officeDocument/2006/relationships/worksheet" Target="/xl/worksheets/sheet3.xml" Id="R84de9b7b21494a89" /><Relationship Type="http://schemas.microsoft.com/office/2017/10/relationships/person" Target="/xl/persons/person.xml" Id="R866b7cb33c1844e8" /></Relationships>
</file>

<file path=xl/persons/person.xml><?xml version="1.0" encoding="utf-8"?>
<xltc:personList xmlns:xltc="http://schemas.microsoft.com/office/spreadsheetml/2018/threadedcomments">
  <xltc:person displayName="User" id="{27071B73-8E35-4677-93E6-4FC65D205859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5" dT="2026-08-10T17:26:26.475" personId="{27071B73-8E35-4677-93E6-4FC65D205859}" id="{24F0F605-F55D-DC45-C4C4-3649A2A66146}">
    <xltc:text>Enter only team-approved contribution points supported by genuine work evidence. Calculated percentages update automatically.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18867e8f417473c" /><Relationship Type="http://schemas.openxmlformats.org/officeDocument/2006/relationships/vmlDrawing" Target="/xl/drawings/vmldrawing.vml" Id="Rd5826168da4b4024" /><Relationship Type="http://schemas.microsoft.com/office/2017/10/relationships/threadedComment" Target="/xl/threadedcomments/threadedcomment.xml" Id="Rdd972ecaa6d64e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14" hidden="0" customWidth="1"/>
    <x:col min="2" max="2" width="28" hidden="0" customWidth="1"/>
    <x:col min="3" max="3" width="27" hidden="0" customWidth="1"/>
    <x:col min="4" max="4" width="30" hidden="0" customWidth="1"/>
    <x:col min="7" max="7" width="20" hidden="0" customWidth="1"/>
    <x:col min="8" max="8" width="14.630000114440918" customWidth="1"/>
    <x:col min="5" max="5" width="24" hidden="0" customWidth="1"/>
    <x:col min="6" max="6" width="18" hidden="0" customWidth="1"/>
  </x:cols>
  <x:sheetData>
    <x:row r="1" ht="34" customHeight="1">
      <x:c r="A1" s="20" t="str">
        <x:v>TrafficEase BD — Contribution &amp; Evidence Tracker</x:v>
      </x:c>
      <x:c r="B1" s="20"/>
      <x:c r="C1" s="20"/>
      <x:c r="D1" s="20"/>
      <x:c r="E1" s="20"/>
      <x:c r="F1" s="20"/>
      <x:c r="G1" s="20"/>
    </x:row>
    <x:row r="2" ht="42" customHeight="1">
      <x:c r="A2" s="41" t="str">
        <x:v>Project</x:v>
      </x:c>
      <x:c r="B2" s="36" t="str">
        <x:v>TrafficEase BD: Intelligent Multi-Modal Urban Mobility and Traffic Management Platform</x:v>
      </x:c>
      <x:c r="C2" s="36"/>
      <x:c r="D2" s="36" t="str">
        <x:v>Semester</x:v>
      </x:c>
      <x:c r="E2" s="36" t="str">
        <x:v>Summer 2026</x:v>
      </x:c>
      <x:c r="F2" s="36" t="str">
        <x:v>Group / Section</x:v>
      </x:c>
      <x:c r="G2" s="37" t="str">
        <x:v>Group 4 / Section 01</x:v>
      </x:c>
    </x:row>
    <x:row r="3" ht="42" customHeight="1">
      <x:c r="A3" s="42" t="str">
        <x:v>Repository</x:v>
      </x:c>
      <x:c r="B3" s="39" t="str">
        <x:v>https://github.com/sayedsohanulislam/470-TrafficEaseBd</x:v>
      </x:c>
      <x:c r="C3" s="39"/>
      <x:c r="D3" s="39" t="str">
        <x:v>SRS</x:v>
      </x:c>
      <x:c r="E3" s="39" t="str">
        <x:v>docs/SRS.md</x:v>
      </x:c>
      <x:c r="F3" s="39" t="str">
        <x:v>Feature Matrix</x:v>
      </x:c>
      <x:c r="G3" s="40" t="str">
        <x:v>docs/FEATURE_TRACEABILITY.md</x:v>
      </x:c>
    </x:row>
    <x:row r="4" ht="24" customHeight="1">
      <x:c r="A4" s="74"/>
      <x:c r="B4" s="74"/>
      <x:c r="C4" s="74"/>
      <x:c r="D4" s="74"/>
      <x:c r="E4" s="74"/>
      <x:c r="F4" s="74"/>
      <x:c r="G4" s="74"/>
    </x:row>
    <x:row r="5" ht="36" customHeight="1">
      <x:c r="A5" s="47" t="str">
        <x:v>Student ID</x:v>
      </x:c>
      <x:c r="B5" s="47" t="str">
        <x:v>Group Member</x:v>
      </x:c>
      <x:c r="C5" s="47" t="str">
        <x:v>Documented Role</x:v>
      </x:c>
      <x:c r="D5" s="47" t="str">
        <x:v>Canonical Feature IDs</x:v>
      </x:c>
      <x:c r="E5" s="47" t="str">
        <x:v>Evidence Status</x:v>
      </x:c>
      <x:c r="F5" s="47" t="str">
        <x:v>Contribution Points (Input)</x:v>
      </x:c>
      <x:c r="G5" s="47" t="str">
        <x:v>Calculated %</x:v>
      </x:c>
    </x:row>
    <x:row r="6" ht="48" customHeight="1">
      <x:c r="A6" s="52" t="str">
        <x:v>22201631</x:v>
      </x:c>
      <x:c r="B6" s="52" t="str">
        <x:v>Md. Mushroor Muttakin Khan</x:v>
      </x:c>
      <x:c r="C6" s="52" t="str">
        <x:v>Backend / Auth / Controller Lead</x:v>
      </x:c>
      <x:c r="D6" s="52" t="str">
        <x:v>FR-07, 08, 18, 28, 29, 30</x:v>
      </x:c>
      <x:c r="E6" s="52" t="str">
        <x:v>Needs Git/Sprint Evidence</x:v>
      </x:c>
      <x:c r="F6" s="54"/>
      <x:c r="G6" s="57" t="str">
        <x:f>IF(SUM($F$6:$F$9)=0,"",F6/SUM($F$6:$F$9))</x:f>
      </x:c>
    </x:row>
    <x:row r="7" ht="48" customHeight="1">
      <x:c r="A7" s="52" t="str">
        <x:v>22201940</x:v>
      </x:c>
      <x:c r="B7" s="52" t="str">
        <x:v>Raisha Tasnim Khan</x:v>
      </x:c>
      <x:c r="C7" s="52" t="str">
        <x:v>Frontend / Dashboard Lead</x:v>
      </x:c>
      <x:c r="D7" s="52" t="str">
        <x:v>FR-01, 02, 03, 27, 29</x:v>
      </x:c>
      <x:c r="E7" s="52" t="str">
        <x:v>Needs Git/Sprint Evidence</x:v>
      </x:c>
      <x:c r="F7" s="54"/>
      <x:c r="G7" s="57" t="str">
        <x:f>IF(SUM($F$6:$F$9)=0,"",F7/SUM($F$6:$F$9))</x:f>
      </x:c>
    </x:row>
    <x:row r="8" ht="48" customHeight="1">
      <x:c r="A8" s="52" t="str">
        <x:v>22341036</x:v>
      </x:c>
      <x:c r="B8" s="52" t="str">
        <x:v>Sayed Sohanul Islam</x:v>
      </x:c>
      <x:c r="C8" s="52" t="str">
        <x:v>GIS / Navigation Lead</x:v>
      </x:c>
      <x:c r="D8" s="52" t="str">
        <x:v>FR-07, 25, 26</x:v>
      </x:c>
      <x:c r="E8" s="52" t="str">
        <x:v>Git Evidence Present</x:v>
      </x:c>
      <x:c r="F8" s="54"/>
      <x:c r="G8" s="57" t="str">
        <x:f>IF(SUM($F$6:$F$9)=0,"",F8/SUM($F$6:$F$9))</x:f>
      </x:c>
    </x:row>
    <x:row r="9" ht="48" customHeight="1">
      <x:c r="A9" s="52" t="str">
        <x:v>23301060</x:v>
      </x:c>
      <x:c r="B9" s="52" t="str">
        <x:v>Maisha Maliha Nisa</x:v>
      </x:c>
      <x:c r="C9" s="52" t="str">
        <x:v>Operations Workspace Lead</x:v>
      </x:c>
      <x:c r="D9" s="52" t="str">
        <x:v>FR-04–06, 09–17, 19–24, 30</x:v>
      </x:c>
      <x:c r="E9" s="52" t="str">
        <x:v>Needs Git/Sprint Evidence</x:v>
      </x:c>
      <x:c r="F9" s="54"/>
      <x:c r="G9" s="57" t="str">
        <x:f>IF(SUM($F$6:$F$9)=0,"",F9/SUM($F$6:$F$9))</x:f>
      </x:c>
    </x:row>
    <x:row r="10" ht="24" customHeight="1">
      <x:c r="A10" s="74"/>
      <x:c r="B10" s="74"/>
      <x:c r="C10" s="74"/>
      <x:c r="D10" s="74"/>
      <x:c r="E10" s="74"/>
      <x:c r="F10" s="74"/>
      <x:c r="G10" s="74"/>
      <x:c r="H10"/>
    </x:row>
    <x:row r="11" ht="24" customHeight="1">
      <x:c r="A11" s="59" t="str">
        <x:v>Instructions</x:v>
      </x:c>
      <x:c r="B11" s="59"/>
      <x:c r="C11" s="59"/>
      <x:c r="D11" s="59"/>
      <x:c r="E11" s="59"/>
      <x:c r="F11" s="59"/>
      <x:c r="G11" s="59"/>
    </x:row>
    <x:row r="12" ht="24" customHeight="1">
      <x:c r="A12" s="68" t="str">
        <x:v>1</x:v>
      </x:c>
      <x:c r="B12" s="69" t="str">
        <x:v>Enter team-approved contribution points in F6:F9. The percentage column calculates automatically.</x:v>
      </x:c>
      <x:c r="C12" s="69"/>
      <x:c r="D12" s="69"/>
      <x:c r="E12" s="69"/>
      <x:c r="F12" s="69"/>
      <x:c r="G12" s="70"/>
    </x:row>
    <x:row r="13" ht="24" customHeight="1">
      <x:c r="A13" s="71" t="str">
        <x:v>2</x:v>
      </x:c>
      <x:c r="B13" s="72" t="str">
        <x:v>Replace evidence statuses only after genuine commits, sprint receipts, or review links exist. Do not backdate evidence.</x:v>
      </x:c>
      <x:c r="C13" s="72"/>
      <x:c r="D13" s="72"/>
      <x:c r="E13" s="72"/>
      <x:c r="F13" s="72"/>
      <x:c r="G13" s="7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</x:sheetData>
  <x:mergeCells>
    <x:mergeCell ref="A1:G1"/>
    <x:mergeCell ref="B2:C2"/>
    <x:mergeCell ref="B3:C3"/>
    <x:mergeCell ref="A11:G11"/>
    <x:mergeCell ref="B12:G12"/>
    <x:mergeCell ref="B13:G13"/>
  </x:mergeCells>
  <x:conditionalFormatting sqref="E6:E9">
    <x:cfRule type="containsText" dxfId="0" priority="1" operator="containsText" text="Evidence Complete"/>
    <x:cfRule type="containsText" dxfId="1" priority="2" operator="containsText" text="Needs"/>
  </x:conditionalFormatting>
  <x:dataValidations count="2">
    <x:dataValidation type="list" sqref="E6:E9">
      <x:formula1>"Needs Git/Sprint Evidence,In Progress,Evidence Complete,Git Evidence Present"</x:formula1>
    </x:dataValidation>
    <x:dataValidation type="whole" operator="between" sqref="F6:F9">
      <x:formula1>0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d5826168da4b402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5" hidden="0" customWidth="1"/>
    <x:col min="4" max="4" width="39" hidden="0" customWidth="1"/>
    <x:col min="5" max="5" width="16" hidden="0" customWidth="1"/>
  </x:cols>
  <x:sheetData>
    <x:row r="1" ht="34" customHeight="1">
      <x:c r="A1" s="76" t="str">
        <x:v>Canonical Feature Ownership — FR-01 to FR-30</x:v>
      </x:c>
      <x:c r="B1" s="76"/>
      <x:c r="C1" s="76"/>
      <x:c r="D1" s="76"/>
      <x:c r="E1" s="76"/>
    </x:row>
    <x:row r="3" ht="31" customHeight="1">
      <x:c r="A3" s="46" t="str">
        <x:v>ID</x:v>
      </x:c>
      <x:c r="B3" s="46" t="str">
        <x:v>Feature</x:v>
      </x:c>
      <x:c r="C3" s="46" t="str">
        <x:v>Documented Lead</x:v>
      </x:c>
      <x:c r="D3" s="46" t="str">
        <x:v>Implementation Evidence</x:v>
      </x:c>
      <x:c r="E3" s="46" t="str">
        <x:v>Acceptance Status</x:v>
      </x:c>
    </x:row>
    <x:row r="4" ht="31" customHeight="1">
      <x:c r="A4" s="82" t="str">
        <x:v>FR-01</x:v>
      </x:c>
      <x:c r="B4" s="80" t="str">
        <x:v>Live congestion index</x:v>
      </x:c>
      <x:c r="C4" s="80" t="str">
        <x:v>Raisha Tasnim Khan</x:v>
      </x:c>
      <x:c r="D4" s="80" t="str">
        <x:v>LiveTraffic workspace 01; /api/live-traffic</x:v>
      </x:c>
      <x:c r="E4" s="80" t="str">
        <x:v>Implemented</x:v>
      </x:c>
    </x:row>
    <x:row r="5" ht="31" customHeight="1">
      <x:c r="A5" s="82" t="str">
        <x:v>FR-02</x:v>
      </x:c>
      <x:c r="B5" s="80" t="str">
        <x:v>Corridor speed monitor</x:v>
      </x:c>
      <x:c r="C5" s="80" t="str">
        <x:v>Raisha Tasnim Khan</x:v>
      </x:c>
      <x:c r="D5" s="80" t="str">
        <x:v>LiveTraffic workspace 02</x:v>
      </x:c>
      <x:c r="E5" s="80" t="str">
        <x:v>Implemented</x:v>
      </x:c>
    </x:row>
    <x:row r="6" ht="31" customHeight="1">
      <x:c r="A6" s="82" t="str">
        <x:v>FR-03</x:v>
      </x:c>
      <x:c r="B6" s="80" t="str">
        <x:v>Queue length estimator</x:v>
      </x:c>
      <x:c r="C6" s="80" t="str">
        <x:v>Raisha Tasnim Khan</x:v>
      </x:c>
      <x:c r="D6" s="80" t="str">
        <x:v>trafficCalculations service + test</x:v>
      </x:c>
      <x:c r="E6" s="80" t="str">
        <x:v>Tested</x:v>
      </x:c>
    </x:row>
    <x:row r="7" ht="31" customHeight="1">
      <x:c r="A7" s="82" t="str">
        <x:v>FR-04</x:v>
      </x:c>
      <x:c r="B7" s="80" t="str">
        <x:v>Signal phase tracking</x:v>
      </x:c>
      <x:c r="C7" s="80" t="str">
        <x:v>Maisha Maliha Nisa</x:v>
      </x:c>
      <x:c r="D7" s="80" t="str">
        <x:v>LiveTraffic workspace 04; Signal model</x:v>
      </x:c>
      <x:c r="E7" s="80" t="str">
        <x:v>Implemented</x:v>
      </x:c>
    </x:row>
    <x:row r="8" ht="31" customHeight="1">
      <x:c r="A8" s="82" t="str">
        <x:v>FR-05</x:v>
      </x:c>
      <x:c r="B8" s="80" t="str">
        <x:v>Adaptive signal timing</x:v>
      </x:c>
      <x:c r="C8" s="80" t="str">
        <x:v>Maisha Maliha Nisa</x:v>
      </x:c>
      <x:c r="D8" s="80" t="str">
        <x:v>trafficCalculations service + test</x:v>
      </x:c>
      <x:c r="E8" s="80" t="str">
        <x:v>Tested</x:v>
      </x:c>
    </x:row>
    <x:row r="9" ht="31" customHeight="1">
      <x:c r="A9" s="82" t="str">
        <x:v>FR-06</x:v>
      </x:c>
      <x:c r="B9" s="80" t="str">
        <x:v>Signal failure alerts</x:v>
      </x:c>
      <x:c r="C9" s="80" t="str">
        <x:v>Maisha Maliha Nisa</x:v>
      </x:c>
      <x:c r="D9" s="80" t="str">
        <x:v>LiveTraffic workspace 06</x:v>
      </x:c>
      <x:c r="E9" s="80" t="str">
        <x:v>Implemented</x:v>
      </x:c>
    </x:row>
    <x:row r="10" ht="31" customHeight="1">
      <x:c r="A10" s="82" t="str">
        <x:v>FR-07</x:v>
      </x:c>
      <x:c r="B10" s="80" t="str">
        <x:v>Incident reporting</x:v>
      </x:c>
      <x:c r="C10" s="80" t="str">
        <x:v>Mushroor / Sayed</x:v>
      </x:c>
      <x:c r="D10" s="80" t="str">
        <x:v>ReportIncident; POST /api/incidents</x:v>
      </x:c>
      <x:c r="E10" s="80" t="str">
        <x:v>Persisted</x:v>
      </x:c>
    </x:row>
    <x:row r="11" ht="31" customHeight="1">
      <x:c r="A11" s="82" t="str">
        <x:v>FR-08</x:v>
      </x:c>
      <x:c r="B11" s="80" t="str">
        <x:v>Incident verification queue</x:v>
      </x:c>
      <x:c r="C11" s="80" t="str">
        <x:v>Md. Mushroor Muttakin Khan</x:v>
      </x:c>
      <x:c r="D11" s="80" t="str">
        <x:v>PUT /api/incidents; OperationLog</x:v>
      </x:c>
      <x:c r="E11" s="80" t="str">
        <x:v>Persisted</x:v>
      </x:c>
    </x:row>
    <x:row r="12" ht="31" customHeight="1">
      <x:c r="A12" s="82" t="str">
        <x:v>FR-09</x:v>
      </x:c>
      <x:c r="B12" s="80" t="str">
        <x:v>Emergency vehicle priority</x:v>
      </x:c>
      <x:c r="C12" s="80" t="str">
        <x:v>Maisha Maliha Nisa</x:v>
      </x:c>
      <x:c r="D12" s="80" t="str">
        <x:v>LiveTraffic workspace 09</x:v>
      </x:c>
      <x:c r="E12" s="80" t="str">
        <x:v>Simulated</x:v>
      </x:c>
    </x:row>
    <x:row r="13" ht="31" customHeight="1">
      <x:c r="A13" s="82" t="str">
        <x:v>FR-10</x:v>
      </x:c>
      <x:c r="B13" s="80" t="str">
        <x:v>School-zone safety mode</x:v>
      </x:c>
      <x:c r="C13" s="80" t="str">
        <x:v>Maisha Maliha Nisa</x:v>
      </x:c>
      <x:c r="D13" s="80" t="str">
        <x:v>LiveTraffic workspace 10</x:v>
      </x:c>
      <x:c r="E13" s="80" t="str">
        <x:v>Simulated</x:v>
      </x:c>
    </x:row>
    <x:row r="14" ht="31" customHeight="1">
      <x:c r="A14" s="82" t="str">
        <x:v>FR-11</x:v>
      </x:c>
      <x:c r="B14" s="80" t="str">
        <x:v>Weather impact scoring</x:v>
      </x:c>
      <x:c r="C14" s="80" t="str">
        <x:v>Maisha Maliha Nisa</x:v>
      </x:c>
      <x:c r="D14" s="80" t="str">
        <x:v>trafficCalculations service + test</x:v>
      </x:c>
      <x:c r="E14" s="80" t="str">
        <x:v>Tested</x:v>
      </x:c>
    </x:row>
    <x:row r="15" ht="31" customHeight="1">
      <x:c r="A15" s="82" t="str">
        <x:v>FR-12</x:v>
      </x:c>
      <x:c r="B15" s="80" t="str">
        <x:v>Flood-prone road alerts</x:v>
      </x:c>
      <x:c r="C15" s="80" t="str">
        <x:v>Maisha Maliha Nisa</x:v>
      </x:c>
      <x:c r="D15" s="80" t="str">
        <x:v>LiveTraffic workspace 12</x:v>
      </x:c>
      <x:c r="E15" s="80" t="str">
        <x:v>Simulated</x:v>
      </x:c>
    </x:row>
    <x:row r="16" ht="31" customHeight="1">
      <x:c r="A16" s="82" t="str">
        <x:v>FR-13</x:v>
      </x:c>
      <x:c r="B16" s="80" t="str">
        <x:v>Air quality mobility note</x:v>
      </x:c>
      <x:c r="C16" s="80" t="str">
        <x:v>Maisha Maliha Nisa</x:v>
      </x:c>
      <x:c r="D16" s="80" t="str">
        <x:v>LiveTraffic workspace 13</x:v>
      </x:c>
      <x:c r="E16" s="80" t="str">
        <x:v>Simulated</x:v>
      </x:c>
    </x:row>
    <x:row r="17" ht="31" customHeight="1">
      <x:c r="A17" s="82" t="str">
        <x:v>FR-14</x:v>
      </x:c>
      <x:c r="B17" s="80" t="str">
        <x:v>Bus route status</x:v>
      </x:c>
      <x:c r="C17" s="80" t="str">
        <x:v>Maisha Maliha Nisa</x:v>
      </x:c>
      <x:c r="D17" s="80" t="str">
        <x:v>LiveTraffic workspace 14; Transit model</x:v>
      </x:c>
      <x:c r="E17" s="80" t="str">
        <x:v>Implemented</x:v>
      </x:c>
    </x:row>
    <x:row r="18" ht="31" customHeight="1">
      <x:c r="A18" s="82" t="str">
        <x:v>FR-15</x:v>
      </x:c>
      <x:c r="B18" s="80" t="str">
        <x:v>Metro connection status</x:v>
      </x:c>
      <x:c r="C18" s="80" t="str">
        <x:v>Maisha Maliha Nisa</x:v>
      </x:c>
      <x:c r="D18" s="80" t="str">
        <x:v>LiveTraffic workspace 15; Transit model</x:v>
      </x:c>
      <x:c r="E18" s="80" t="str">
        <x:v>Implemented</x:v>
      </x:c>
    </x:row>
    <x:row r="19" ht="31" customHeight="1">
      <x:c r="A19" s="82" t="str">
        <x:v>FR-16</x:v>
      </x:c>
      <x:c r="B19" s="80" t="str">
        <x:v>Transit delay prediction</x:v>
      </x:c>
      <x:c r="C19" s="80" t="str">
        <x:v>Maisha Maliha Nisa</x:v>
      </x:c>
      <x:c r="D19" s="80" t="str">
        <x:v>LiveTraffic workspace 16</x:v>
      </x:c>
      <x:c r="E19" s="80" t="str">
        <x:v>Implemented</x:v>
      </x:c>
    </x:row>
    <x:row r="20" ht="31" customHeight="1">
      <x:c r="A20" s="82" t="str">
        <x:v>FR-17</x:v>
      </x:c>
      <x:c r="B20" s="80" t="str">
        <x:v>Crowding level monitor</x:v>
      </x:c>
      <x:c r="C20" s="80" t="str">
        <x:v>Maisha Maliha Nisa</x:v>
      </x:c>
      <x:c r="D20" s="80" t="str">
        <x:v>LiveTraffic workspace 17</x:v>
      </x:c>
      <x:c r="E20" s="80" t="str">
        <x:v>Simulated</x:v>
      </x:c>
    </x:row>
    <x:row r="21" ht="31" customHeight="1">
      <x:c r="A21" s="82" t="str">
        <x:v>FR-18</x:v>
      </x:c>
      <x:c r="B21" s="80" t="str">
        <x:v>Parking availability</x:v>
      </x:c>
      <x:c r="C21" s="80" t="str">
        <x:v>Md. Mushroor Muttakin Khan</x:v>
      </x:c>
      <x:c r="D21" s="80" t="str">
        <x:v>Parking API/model; workspace 18</x:v>
      </x:c>
      <x:c r="E21" s="80" t="str">
        <x:v>Implemented</x:v>
      </x:c>
    </x:row>
    <x:row r="22" ht="31" customHeight="1">
      <x:c r="A22" s="82" t="str">
        <x:v>FR-19</x:v>
      </x:c>
      <x:c r="B22" s="80" t="str">
        <x:v>Parking demand forecast</x:v>
      </x:c>
      <x:c r="C22" s="80" t="str">
        <x:v>Maisha Maliha Nisa</x:v>
      </x:c>
      <x:c r="D22" s="80" t="str">
        <x:v>LiveTraffic workspace 19</x:v>
      </x:c>
      <x:c r="E22" s="80" t="str">
        <x:v>Simulated</x:v>
      </x:c>
    </x:row>
    <x:row r="23" ht="31" customHeight="1">
      <x:c r="A23" s="82" t="str">
        <x:v>FR-20</x:v>
      </x:c>
      <x:c r="B23" s="80" t="str">
        <x:v>Ride-share pickup zones</x:v>
      </x:c>
      <x:c r="C23" s="80" t="str">
        <x:v>Maisha Maliha Nisa</x:v>
      </x:c>
      <x:c r="D23" s="80" t="str">
        <x:v>LiveTraffic workspace 20</x:v>
      </x:c>
      <x:c r="E23" s="80" t="str">
        <x:v>Simulated</x:v>
      </x:c>
    </x:row>
    <x:row r="24" ht="31" customHeight="1">
      <x:c r="A24" s="82" t="str">
        <x:v>FR-21</x:v>
      </x:c>
      <x:c r="B24" s="80" t="str">
        <x:v>CNG stand availability</x:v>
      </x:c>
      <x:c r="C24" s="80" t="str">
        <x:v>Maisha Maliha Nisa</x:v>
      </x:c>
      <x:c r="D24" s="80" t="str">
        <x:v>LiveTraffic workspace 21</x:v>
      </x:c>
      <x:c r="E24" s="80" t="str">
        <x:v>Implemented</x:v>
      </x:c>
    </x:row>
    <x:row r="25" ht="31" customHeight="1">
      <x:c r="A25" s="82" t="str">
        <x:v>FR-22</x:v>
      </x:c>
      <x:c r="B25" s="80" t="str">
        <x:v>Pedestrian crossing load</x:v>
      </x:c>
      <x:c r="C25" s="80" t="str">
        <x:v>Maisha Maliha Nisa</x:v>
      </x:c>
      <x:c r="D25" s="80" t="str">
        <x:v>LiveTraffic workspace 22</x:v>
      </x:c>
      <x:c r="E25" s="80" t="str">
        <x:v>Simulated</x:v>
      </x:c>
    </x:row>
    <x:row r="26" ht="31" customHeight="1">
      <x:c r="A26" s="82" t="str">
        <x:v>FR-23</x:v>
      </x:c>
      <x:c r="B26" s="80" t="str">
        <x:v>Road work scheduling</x:v>
      </x:c>
      <x:c r="C26" s="80" t="str">
        <x:v>Maisha Maliha Nisa</x:v>
      </x:c>
      <x:c r="D26" s="80" t="str">
        <x:v>LiveTraffic workspace 23</x:v>
      </x:c>
      <x:c r="E26" s="80" t="str">
        <x:v>Simulated</x:v>
      </x:c>
    </x:row>
    <x:row r="27" ht="31" customHeight="1">
      <x:c r="A27" s="82" t="str">
        <x:v>FR-24</x:v>
      </x:c>
      <x:c r="B27" s="80" t="str">
        <x:v>Event traffic plan</x:v>
      </x:c>
      <x:c r="C27" s="80" t="str">
        <x:v>Maisha Maliha Nisa</x:v>
      </x:c>
      <x:c r="D27" s="80" t="str">
        <x:v>LiveTraffic workspace 24</x:v>
      </x:c>
      <x:c r="E27" s="80" t="str">
        <x:v>Simulated</x:v>
      </x:c>
    </x:row>
    <x:row r="28" ht="31" customHeight="1">
      <x:c r="A28" s="82" t="str">
        <x:v>FR-25</x:v>
      </x:c>
      <x:c r="B28" s="80" t="str">
        <x:v>Route recommendation</x:v>
      </x:c>
      <x:c r="C28" s="80" t="str">
        <x:v>Sayed Sohanul Islam</x:v>
      </x:c>
      <x:c r="D28" s="80" t="str">
        <x:v>LiveMap + OSRM</x:v>
      </x:c>
      <x:c r="E28" s="80" t="str">
        <x:v>Integrated</x:v>
      </x:c>
    </x:row>
    <x:row r="29" ht="31" customHeight="1">
      <x:c r="A29" s="82" t="str">
        <x:v>FR-26</x:v>
      </x:c>
      <x:c r="B29" s="80" t="str">
        <x:v>ETA comparison</x:v>
      </x:c>
      <x:c r="C29" s="80" t="str">
        <x:v>Sayed Sohanul Islam</x:v>
      </x:c>
      <x:c r="D29" s="80" t="str">
        <x:v>trafficCalculations service + test</x:v>
      </x:c>
      <x:c r="E29" s="80" t="str">
        <x:v>Tested</x:v>
      </x:c>
    </x:row>
    <x:row r="30" ht="31" customHeight="1">
      <x:c r="A30" s="82" t="str">
        <x:v>FR-27</x:v>
      </x:c>
      <x:c r="B30" s="80" t="str">
        <x:v>Hotspot heat ranking</x:v>
      </x:c>
      <x:c r="C30" s="80" t="str">
        <x:v>Raisha Tasnim Khan</x:v>
      </x:c>
      <x:c r="D30" s="80" t="str">
        <x:v>LiveTraffic workspace 27</x:v>
      </x:c>
      <x:c r="E30" s="80" t="str">
        <x:v>Implemented</x:v>
      </x:c>
    </x:row>
    <x:row r="31" ht="31" customHeight="1">
      <x:c r="A31" s="82" t="str">
        <x:v>FR-28</x:v>
      </x:c>
      <x:c r="B31" s="80" t="str">
        <x:v>Authority dispatch board</x:v>
      </x:c>
      <x:c r="C31" s="80" t="str">
        <x:v>Md. Mushroor Muttakin Khan</x:v>
      </x:c>
      <x:c r="D31" s="80" t="str">
        <x:v>POST /api/operations; OperationLog</x:v>
      </x:c>
      <x:c r="E31" s="80" t="str">
        <x:v>Persisted</x:v>
      </x:c>
    </x:row>
    <x:row r="32" ht="31" customHeight="1">
      <x:c r="A32" s="82" t="str">
        <x:v>FR-29</x:v>
      </x:c>
      <x:c r="B32" s="80" t="str">
        <x:v>Public alert broadcast</x:v>
      </x:c>
      <x:c r="C32" s="80" t="str">
        <x:v>Raisha / Mushroor</x:v>
      </x:c>
      <x:c r="D32" s="80" t="str">
        <x:v>POST /api/alerts; OperationLog</x:v>
      </x:c>
      <x:c r="E32" s="80" t="str">
        <x:v>Persisted</x:v>
      </x:c>
    </x:row>
    <x:row r="33" ht="31" customHeight="1">
      <x:c r="A33" s="82" t="str">
        <x:v>FR-30</x:v>
      </x:c>
      <x:c r="B33" s="80" t="str">
        <x:v>Audit-ready activity log</x:v>
      </x:c>
      <x:c r="C33" s="80" t="str">
        <x:v>Maisha / Mushroor</x:v>
      </x:c>
      <x:c r="D33" s="80" t="str">
        <x:v>GET /api/operations; OperationLog</x:v>
      </x:c>
      <x:c r="E33" s="80" t="str">
        <x:v>Persisted</x:v>
      </x:c>
    </x:row>
  </x:sheetData>
  <x:mergeCells>
    <x:mergeCell ref="A1:E1"/>
  </x:mergeCells>
  <x:conditionalFormatting sqref="E4:E33">
    <x:cfRule type="containsText" dxfId="2" priority="1" operator="containsText" text="Persisted"/>
    <x:cfRule type="containsText" dxfId="3" priority="2" operator="containsText" text="Tested"/>
    <x:cfRule type="containsText" dxfId="4" priority="3" operator="containsText" text="Simula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29" hidden="0" customWidth="1"/>
    <x:col min="5" max="5" width="29" hidden="0" customWidth="1"/>
    <x:col min="6" max="6" width="29" hidden="0" customWidth="1"/>
    <x:col min="7" max="7" width="18" hidden="0" customWidth="1"/>
  </x:cols>
  <x:sheetData>
    <x:row r="1">
      <x:c r="A1" s="76" t="str">
        <x:v>Four-Sprint Evidence Register</x:v>
      </x:c>
      <x:c r="B1" s="76"/>
      <x:c r="C1" s="76"/>
      <x:c r="D1" s="76"/>
      <x:c r="E1" s="76"/>
      <x:c r="F1" s="76"/>
      <x:c r="G1" s="76"/>
    </x:row>
    <x:row r="3" ht="34" customHeight="1">
      <x:c r="A3" s="46" t="str">
        <x:v>Sprint</x:v>
      </x:c>
      <x:c r="B3" s="46" t="str">
        <x:v>Actual Start</x:v>
      </x:c>
      <x:c r="C3" s="46" t="str">
        <x:v>Actual End</x:v>
      </x:c>
      <x:c r="D3" s="46" t="str">
        <x:v>Sprint Form Receipt</x:v>
      </x:c>
      <x:c r="E3" s="46" t="str">
        <x:v>Git Tag / Commit</x:v>
      </x:c>
      <x:c r="F3" s="46" t="str">
        <x:v>Demo Evidence</x:v>
      </x:c>
      <x:c r="G3" s="46" t="str">
        <x:v>Verification Status</x:v>
      </x:c>
    </x:row>
    <x:row r="4" ht="34" customHeight="1">
      <x:c r="A4" s="52" t="n">
        <x:v>1</x:v>
      </x:c>
      <x:c r="B4" s="53"/>
      <x:c r="C4" s="53"/>
      <x:c r="D4" s="53"/>
      <x:c r="E4" s="53"/>
      <x:c r="F4" s="53"/>
      <x:c r="G4" s="85" t="str">
        <x:v>Needs Evidence</x:v>
      </x:c>
    </x:row>
    <x:row r="5" ht="34" customHeight="1">
      <x:c r="A5" s="52" t="n">
        <x:v>2</x:v>
      </x:c>
      <x:c r="B5" s="53"/>
      <x:c r="C5" s="53"/>
      <x:c r="D5" s="53"/>
      <x:c r="E5" s="53"/>
      <x:c r="F5" s="53"/>
      <x:c r="G5" s="85" t="str">
        <x:v>Needs Evidence</x:v>
      </x:c>
    </x:row>
    <x:row r="6" ht="34" customHeight="1">
      <x:c r="A6" s="52" t="n">
        <x:v>3</x:v>
      </x:c>
      <x:c r="B6" s="53"/>
      <x:c r="C6" s="53"/>
      <x:c r="D6" s="53"/>
      <x:c r="E6" s="53"/>
      <x:c r="F6" s="53"/>
      <x:c r="G6" s="85" t="str">
        <x:v>Needs Evidence</x:v>
      </x:c>
    </x:row>
    <x:row r="7" ht="34" customHeight="1">
      <x:c r="A7" s="52" t="n">
        <x:v>4</x:v>
      </x:c>
      <x:c r="B7" s="53"/>
      <x:c r="C7" s="53"/>
      <x:c r="D7" s="53"/>
      <x:c r="E7" s="53"/>
      <x:c r="F7" s="53"/>
      <x:c r="G7" s="85" t="str">
        <x:v>Needs Evidence</x:v>
      </x:c>
    </x:row>
    <x:row r="8" ht="34" customHeight="1"/>
    <x:row r="9" ht="46" customHeight="1">
      <x:c r="A9" s="87" t="str">
        <x:v>Enter only genuine dates, form receipts, commits/tags, and demo links. This sheet intentionally does not fabricate missing historical evidence.</x:v>
      </x:c>
      <x:c r="B9" s="87"/>
      <x:c r="C9" s="87"/>
      <x:c r="D9" s="87"/>
      <x:c r="E9" s="87"/>
      <x:c r="F9" s="87"/>
      <x:c r="G9" s="87"/>
    </x:row>
  </x:sheetData>
  <x:mergeCells>
    <x:mergeCell ref="A1:G1"/>
    <x:mergeCell ref="A9:G9"/>
  </x:mergeCells>
  <x:conditionalFormatting sqref="G4:G7">
    <x:cfRule type="containsText" dxfId="5" priority="1" operator="containsText" text="Evidence Complete"/>
  </x:conditionalFormatting>
  <x:dataValidations count="1">
    <x:dataValidation type="list" sqref="G4:G7">
      <x:formula1>"Needs Evidence,In Progress,Evidence Complete"</x:formula1>
    </x:dataValidation>
  </x:dataValidations>
  <x:pageMargins left="0.7" right="0.7" top="0.75" bottom="0.75" header="0.3" footer="0.3"/>
</x:worksheet>
</file>